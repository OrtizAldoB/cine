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18228A0F-2591-48AF-B39E-F370CA9083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lease Planning" sheetId="1" r:id="rId1"/>
    <sheet name="Historias de Usuario" sheetId="2" r:id="rId2"/>
    <sheet name="Estimación fundamentada" sheetId="3" r:id="rId3"/>
    <sheet name="Resumen por iteració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B10" i="4"/>
  <c r="E9" i="4"/>
  <c r="D9" i="4"/>
  <c r="E8" i="4"/>
  <c r="D8" i="4"/>
  <c r="E7" i="4"/>
  <c r="D7" i="4"/>
  <c r="E6" i="4"/>
  <c r="D6" i="4"/>
  <c r="E5" i="4"/>
  <c r="D5" i="4"/>
  <c r="E4" i="4"/>
  <c r="E10" i="4" s="1"/>
  <c r="D4" i="4"/>
  <c r="E11" i="1"/>
  <c r="D11" i="1"/>
  <c r="F5" i="1"/>
  <c r="F6" i="1" s="1"/>
  <c r="F7" i="1" s="1"/>
  <c r="F8" i="1" s="1"/>
  <c r="F9" i="1" s="1"/>
  <c r="F10" i="1" s="1"/>
  <c r="D10" i="4" l="1"/>
</calcChain>
</file>

<file path=xl/sharedStrings.xml><?xml version="1.0" encoding="utf-8"?>
<sst xmlns="http://schemas.openxmlformats.org/spreadsheetml/2006/main" count="502" uniqueCount="209">
  <si>
    <t>PLAN DE LANZAMIENTO (RELEASE PLANNING) - SISTEMA DE CINE</t>
  </si>
  <si>
    <t>Sprint / Iteración</t>
  </si>
  <si>
    <t>Nombre del Release / Sprint</t>
  </si>
  <si>
    <t>Historias de Usuario Incluidas</t>
  </si>
  <si>
    <t>Cant. HUs</t>
  </si>
  <si>
    <t>Puntos</t>
  </si>
  <si>
    <t>Acumulado</t>
  </si>
  <si>
    <t>Hito / Entregable Principal</t>
  </si>
  <si>
    <t>Sprint 1: Núcleo Base</t>
  </si>
  <si>
    <t>HU-01, HU-02, HU-03, HU-04, HU-31</t>
  </si>
  <si>
    <t>Catálogo de películas, salas, asientos y tarifas base</t>
  </si>
  <si>
    <t>Sprint 2: Operativa y Funciones</t>
  </si>
  <si>
    <t>HU-05, HU-07, HU-32</t>
  </si>
  <si>
    <t>Gestión de funciones, cartelera preliminar, clientes y horarios</t>
  </si>
  <si>
    <t>Sprint 3: Taquilla y Transacciones</t>
  </si>
  <si>
    <t>HU-06, HU-08, HU-09, HU-10, HU-33</t>
  </si>
  <si>
    <t>Cartelera oficial, reservas de asientos, emisión de entradas y pagos</t>
  </si>
  <si>
    <t>Sprint 4: Confitería y Post-venta</t>
  </si>
  <si>
    <t>HU-11, HU-12, HU-13, HU-35</t>
  </si>
  <si>
    <t>Gestión de confitería, inventario, ventas de snacks y reembolsos</t>
  </si>
  <si>
    <t>Sprint 5: Promociones y Ofertas</t>
  </si>
  <si>
    <t>HU-14, HU-15, HU-16, HU-17, HU-18</t>
  </si>
  <si>
    <t>Motor de promociones, ofertas recurrentes y aplicación de descuentos</t>
  </si>
  <si>
    <t>Sprint 6: Recaudación y Seguridad</t>
  </si>
  <si>
    <t>HU-19, HU-20, HU-21, HU-23, HU-24, HU-25, HU-34</t>
  </si>
  <si>
    <t>Funciones benéficas, gestión de usuarios, roles, permisos e historial</t>
  </si>
  <si>
    <t>TOTAL</t>
  </si>
  <si>
    <t>-</t>
  </si>
  <si>
    <t>Alcance Operativo Completo</t>
  </si>
  <si>
    <t>Nombres:</t>
  </si>
  <si>
    <t>Aldo Bracamonte Ortiz
Roberto Carlos Ereño Acuña</t>
  </si>
  <si>
    <t>Modulo:</t>
  </si>
  <si>
    <t>Ingeniería de Software I</t>
  </si>
  <si>
    <t>Turno:</t>
  </si>
  <si>
    <t>Tarde</t>
  </si>
  <si>
    <t>Fecha:</t>
  </si>
  <si>
    <t>2026-10-11</t>
  </si>
  <si>
    <t>Número</t>
  </si>
  <si>
    <t>Nombre</t>
  </si>
  <si>
    <t>Usuario</t>
  </si>
  <si>
    <t>Modificación de Historia</t>
  </si>
  <si>
    <t>Iteración Asignada</t>
  </si>
  <si>
    <t>Prioridad en Negocio</t>
  </si>
  <si>
    <t>Puntos Estimados</t>
  </si>
  <si>
    <t>Riesgo en Desarrollo</t>
  </si>
  <si>
    <t>Puntos Reales</t>
  </si>
  <si>
    <t>Descripción</t>
  </si>
  <si>
    <t>Observaciones</t>
  </si>
  <si>
    <t>HU-01</t>
  </si>
  <si>
    <t>Gestionar películas</t>
  </si>
  <si>
    <t>Administrador</t>
  </si>
  <si>
    <t>Alta</t>
  </si>
  <si>
    <t>Media</t>
  </si>
  <si>
    <t>Como administrador, quiero gestionar las películas del catálogo para registrar, modificar, consultar y dar de baja películas, incluyendo género y clasificación.</t>
  </si>
  <si>
    <t>Agrupa las operaciones CRUD de películas.</t>
  </si>
  <si>
    <t>HU-02</t>
  </si>
  <si>
    <t>Gestionar salas</t>
  </si>
  <si>
    <t>Como administrador, quiero gestionar las salas para registrar, modificar, consultar y habilitar o deshabilitar salas disponibles para funciones.</t>
  </si>
  <si>
    <t>Incluye capacidad y características de la sala.</t>
  </si>
  <si>
    <t>HU-03</t>
  </si>
  <si>
    <t>Gestionar tipos de sala</t>
  </si>
  <si>
    <t>Baja</t>
  </si>
  <si>
    <t>Como administrador, quiero gestionar los tipos de sala para diferenciar las proyecciones 2D, 3D y futuros formatos.</t>
  </si>
  <si>
    <t>Permite ampliar el sistema a nuevos tipos de proyección.</t>
  </si>
  <si>
    <t>HU-04</t>
  </si>
  <si>
    <t>Gestionar asientos</t>
  </si>
  <si>
    <t>Como administrador, quiero gestionar los asientos de cada sala para mantener su distribución y disponibilidad.</t>
  </si>
  <si>
    <t>Los asientos deben estar asociados a una sala.</t>
  </si>
  <si>
    <t>HU-05</t>
  </si>
  <si>
    <t>Gestionar funciones</t>
  </si>
  <si>
    <t>Como administrador, quiero gestionar las funciones para programar, modificar, consultar y cancelar proyecciones de películas en salas y horarios determinados.</t>
  </si>
  <si>
    <t>La validación de cruces de horario y disponibilidad se desarrolla en HU-32.</t>
  </si>
  <si>
    <t>HU-06</t>
  </si>
  <si>
    <t>Gestionar cartelera</t>
  </si>
  <si>
    <t>Como administrador, quiero gestionar la cartelera para organizar las películas y funciones que estarán disponibles al público.</t>
  </si>
  <si>
    <t>Debe mostrar información vigente.</t>
  </si>
  <si>
    <t>HU-07</t>
  </si>
  <si>
    <t>Gestionar clientes</t>
  </si>
  <si>
    <t>Personal</t>
  </si>
  <si>
    <t>Como personal, quiero gestionar los datos de los clientes para mantener actualizada su información.</t>
  </si>
  <si>
    <t>Incluye registro, modificación y consulta.</t>
  </si>
  <si>
    <t>HU-08</t>
  </si>
  <si>
    <t>Gestionar reservas</t>
  </si>
  <si>
    <t>Cliente</t>
  </si>
  <si>
    <t>Como cliente, quiero gestionar mis reservas para seleccionar una función y asegurar mis asientos antes de la compra.</t>
  </si>
  <si>
    <t>Debe controlar disponibilidad de asientos.</t>
  </si>
  <si>
    <t>HU-09</t>
  </si>
  <si>
    <t>Gestionar entradas</t>
  </si>
  <si>
    <t>Como personal, quiero gestionar la emisión y consulta de entradas para registrar el acceso de los clientes a las funciones.</t>
  </si>
  <si>
    <t>HU-10</t>
  </si>
  <si>
    <t>Gestionar pagos</t>
  </si>
  <si>
    <t>Como cliente, quiero realizar y registrar el pago de mis compras para confirmar mis entradas.</t>
  </si>
  <si>
    <t>Debe registrar importe y medio de pago. El pago de confitería se integra cuando exista HU-13.</t>
  </si>
  <si>
    <t>HU-11</t>
  </si>
  <si>
    <t>Gestionar productos de confitería</t>
  </si>
  <si>
    <t>Como administrador, quiero gestionar los productos de confitería para mantener actualizado el catálogo de alimentos y bebidas disponibles.</t>
  </si>
  <si>
    <t>Incluye precios y disponibilidad.</t>
  </si>
  <si>
    <t>HU-12</t>
  </si>
  <si>
    <t>Gestionar inventario de confitería</t>
  </si>
  <si>
    <t>Como personal, quiero gestionar el inventario de confitería para controlar existencias, entradas y salidas de productos.</t>
  </si>
  <si>
    <t>Debe permitir detectar faltantes.</t>
  </si>
  <si>
    <t>HU-13</t>
  </si>
  <si>
    <t>Gestionar ventas de confitería</t>
  </si>
  <si>
    <t>Como personal, quiero gestionar las ventas de confitería para registrar productos vendidos, cantidades y totales.</t>
  </si>
  <si>
    <t>Debe actualizar el inventario automáticamente.</t>
  </si>
  <si>
    <t>HU-14</t>
  </si>
  <si>
    <t>Gestionar promociones y ofertas</t>
  </si>
  <si>
    <t>Como administrador, quiero gestionar promociones y ofertas para definir beneficios, condiciones, vigencia y elementos a los que se aplican.</t>
  </si>
  <si>
    <t>HU-15</t>
  </si>
  <si>
    <t>Gestionar ofertas recurrentes</t>
  </si>
  <si>
    <t>Como administrador, quiero configurar ofertas recurrentes por día o periodicidad para aplicar beneficios automáticamente, como 2x1 todos los miércoles.</t>
  </si>
  <si>
    <t>Debe permitir definir días y vigencia.</t>
  </si>
  <si>
    <t>HU-16</t>
  </si>
  <si>
    <t>Gestionar promociones por fechas especiales</t>
  </si>
  <si>
    <t>Como administrador, quiero configurar promociones para fechas especiales como Día de la Madre, Día del Padre, Día del Estudiante, San Valentín y feriados.</t>
  </si>
  <si>
    <t>Las fechas y condiciones deben ser configurables.</t>
  </si>
  <si>
    <t>HU-17</t>
  </si>
  <si>
    <t>Consultar promociones disponibles</t>
  </si>
  <si>
    <t>Como cliente, quiero consultar las promociones disponibles para conocer los beneficios que puedo utilizar al comprar.</t>
  </si>
  <si>
    <t>Debe mostrar condiciones y vigencia.</t>
  </si>
  <si>
    <t>HU-18</t>
  </si>
  <si>
    <t>Aplicar promociones</t>
  </si>
  <si>
    <t>Como cliente, quiero aplicar una promoción válida a mi compra para obtener el beneficio correspondiente.</t>
  </si>
  <si>
    <t>Debe validar condiciones y vigencia.</t>
  </si>
  <si>
    <t>HU-19</t>
  </si>
  <si>
    <t>Gestionar funciones de recaudación</t>
  </si>
  <si>
    <t>Como administrador, quiero gestionar funciones especiales de recaudación para destinar parte o la totalidad de sus ingresos a una organización, grupo, evento o causa.</t>
  </si>
  <si>
    <t>HU-20</t>
  </si>
  <si>
    <t>Gestionar condiciones de recaudación</t>
  </si>
  <si>
    <t>Como administrador, quiero configurar las condiciones de una función de recaudación para definir beneficiario, objetivo, monto, porcentaje o modalidad de aporte.</t>
  </si>
  <si>
    <t>HU-21</t>
  </si>
  <si>
    <t>Registrar ventas de funciones de recaudación</t>
  </si>
  <si>
    <t>Como personal, quiero registrar las ventas de entradas de funciones de recaudación para contabilizar los ingresos destinados al beneficiario.</t>
  </si>
  <si>
    <t>Debe asociar cada venta a la función especial.</t>
  </si>
  <si>
    <t>HU-23</t>
  </si>
  <si>
    <t>Gestionar usuarios</t>
  </si>
  <si>
    <t>Como administrador, quiero gestionar los usuarios del sistema para controlar quiénes pueden acceder y operar las funciones administrativas.</t>
  </si>
  <si>
    <t>Incluye alta, modificación, consulta y baja. Base de acceso para las historias administrativas posteriores.</t>
  </si>
  <si>
    <t>HU-24</t>
  </si>
  <si>
    <t>Gestionar roles y permisos</t>
  </si>
  <si>
    <t>Como administrador, quiero gestionar roles y permisos para controlar las operaciones disponibles para cada tipo de usuario.</t>
  </si>
  <si>
    <t>Debe aplicar restricciones según el rol. Aplica restricciones por rol a las funciones administrativas.</t>
  </si>
  <si>
    <t>HU-25</t>
  </si>
  <si>
    <t>Consultar historial de operaciones</t>
  </si>
  <si>
    <t>Como administrador, quiero consultar el historial de operaciones para conocer las acciones realizadas dentro del sistema.</t>
  </si>
  <si>
    <t>HU-31</t>
  </si>
  <si>
    <t>Gestionar precios y tarifas</t>
  </si>
  <si>
    <t>Como administrador, quiero gestionar precios y tarifas para definir los valores de entradas según función, tipo de sala, horario o condición.</t>
  </si>
  <si>
    <t>Debe permitir diferenciar tarifas 2D y 3D. Debe estar lista antes de reservas y entradas, que calculan precios y subtotales.</t>
  </si>
  <si>
    <t>HU-32</t>
  </si>
  <si>
    <t>Gestionar horarios y disponibilidad</t>
  </si>
  <si>
    <t>Como administrador, quiero gestionar horarios y disponibilidad para evitar conflictos de programación y mantener actualizadas las funciones disponibles.</t>
  </si>
  <si>
    <t>Complementa HU-05: valida cruces y disponibilidad de sala antes de programar la función.</t>
  </si>
  <si>
    <t>HU-33</t>
  </si>
  <si>
    <t>Gestionar medios de pago</t>
  </si>
  <si>
    <t>Como administrador, quiero gestionar los medios de pago disponibles para definir las formas aceptadas por el cine.</t>
  </si>
  <si>
    <t>Puede incluir efectivo, tarjeta, QR u otros medios.</t>
  </si>
  <si>
    <t>HU-34</t>
  </si>
  <si>
    <t>Gestionar notificaciones</t>
  </si>
  <si>
    <t>Como cliente, quiero recibir notificaciones sobre reservas, compras, cancelaciones y cambios relevantes para mantenerme informado.</t>
  </si>
  <si>
    <t>HU-35</t>
  </si>
  <si>
    <t>Gestionar cancelaciones y reembolsos</t>
  </si>
  <si>
    <t>Como personal, quiero gestionar cancelaciones y reembolsos para resolver operaciones anuladas de acuerdo con las políticas del cine.</t>
  </si>
  <si>
    <t>ESTIMACIÓN DE PUNTOS DE HISTORIA | SISTEMA DE CINE</t>
  </si>
  <si>
    <t>Código</t>
  </si>
  <si>
    <t>Historia de usuario</t>
  </si>
  <si>
    <t>Iteración</t>
  </si>
  <si>
    <t>Prioridad</t>
  </si>
  <si>
    <t>Puntos de historia</t>
  </si>
  <si>
    <t>Nivel de esfuerzo</t>
  </si>
  <si>
    <t>Riesgo</t>
  </si>
  <si>
    <t>Justificación de estimación</t>
  </si>
  <si>
    <t>Medio</t>
  </si>
  <si>
    <t>CRUD de películas con validación de género, clasificación y estados.</t>
  </si>
  <si>
    <t>CRUD de salas, capacidades y activación/desactivación.</t>
  </si>
  <si>
    <t>Moderado</t>
  </si>
  <si>
    <t>Catálogo sencillo de formatos de proyección.</t>
  </si>
  <si>
    <t>Modelado de filas/asientos y relación con cada sala.</t>
  </si>
  <si>
    <t>Alto</t>
  </si>
  <si>
    <t>Programación de funciones con validación de sala, película y horarios.</t>
  </si>
  <si>
    <t>Publicación y actualización de cartelera según funciones vigentes.</t>
  </si>
  <si>
    <t>CRUD básico de clientes y comprobación de datos.</t>
  </si>
  <si>
    <t>Selección y bloqueo temporal de asientos; prevención de doble reserva.</t>
  </si>
  <si>
    <t>Emisión de entradas asociadas a venta, asiento y función.</t>
  </si>
  <si>
    <t>Registro y validación de pagos; estados y confirmación de compra.</t>
  </si>
  <si>
    <t>CRUD de productos, precios y disponibilidad de confitería.</t>
  </si>
  <si>
    <t>Movimientos de stock, saldos y alertas por faltantes.</t>
  </si>
  <si>
    <t>Ventas con cálculos y descuento automático de existencias.</t>
  </si>
  <si>
    <t>Reglas configurables de descuentos, restricciones y vigencias.</t>
  </si>
  <si>
    <t>Programación periódica y validación de reglas recurrentes.</t>
  </si>
  <si>
    <t>Promociones basadas en calendarios y periodos especiales.</t>
  </si>
  <si>
    <t>Consulta filtrada y presentación de ofertas vigentes.</t>
  </si>
  <si>
    <t>Evaluación de reglas promocionales y aplicación al importe.</t>
  </si>
  <si>
    <t>Funciones especiales conectadas a ventas y destino de fondos.</t>
  </si>
  <si>
    <t>Configuración de beneficiarios, porcentajes y condiciones.</t>
  </si>
  <si>
    <t>Registro de ventas asociadas a eventos de recaudación.</t>
  </si>
  <si>
    <t>CRUD de cuentas de acceso y administración de usuarios.</t>
  </si>
  <si>
    <t>Control de acceso y autorización por rol en distintas funciones.</t>
  </si>
  <si>
    <t>Registro y consulta filtrada de acciones del sistema.</t>
  </si>
  <si>
    <t>Tarifas según formato y función, con reglas de validación.</t>
  </si>
  <si>
    <t>Prevención de cruces horarios y gestión de disponibilidad.</t>
  </si>
  <si>
    <t>Catálogo simple de formas de pago disponibles.</t>
  </si>
  <si>
    <t>Disparo de avisos ante reservas, cambios y cancelaciones.</t>
  </si>
  <si>
    <t>Reversión de operaciones, condiciones de devolución y actualización de estados.</t>
  </si>
  <si>
    <t>RESUMEN DE ESTIMACIÓN POR ITERACIÓN (6 SPRINTS - SIN REPORTES)</t>
  </si>
  <si>
    <t>Historias</t>
  </si>
  <si>
    <t>Puntos estimados</t>
  </si>
  <si>
    <t>Promedio por historia</t>
  </si>
  <si>
    <t>Porcentaje de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</si>
</sst>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2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1" sqref="C11"/>
    </sheetView>
  </sheetViews>
  <sheetFormatPr defaultRowHeight="15"/>
  <cols>
    <col min="1" max="1" width="50" customWidth="1"/>
    <col min="2" max="2" width="37" customWidth="1"/>
    <col min="3" max="3" width="50" customWidth="1"/>
    <col min="4" max="5" width="15" customWidth="1"/>
    <col min="6" max="6" width="12" customWidth="1"/>
    <col min="7" max="7" width="50" customWidth="1"/>
  </cols>
  <sheetData>
    <row r="1" spans="1:7">
      <c r="A1" s="1" t="s">
        <v>0</v>
      </c>
    </row>
    <row r="2" spans="1:7">
      <c r="A2" s="2"/>
    </row>
    <row r="4" spans="1:7" ht="50.2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50.25" customHeight="1">
      <c r="A5" s="4">
        <v>1</v>
      </c>
      <c r="B5" s="5" t="s">
        <v>8</v>
      </c>
      <c r="C5" s="5" t="s">
        <v>9</v>
      </c>
      <c r="D5" s="4">
        <v>5</v>
      </c>
      <c r="E5" s="4">
        <v>23</v>
      </c>
      <c r="F5" s="4">
        <f>E5</f>
        <v>23</v>
      </c>
      <c r="G5" s="5" t="s">
        <v>10</v>
      </c>
    </row>
    <row r="6" spans="1:7" ht="50.25" customHeight="1">
      <c r="A6" s="6">
        <v>2</v>
      </c>
      <c r="B6" s="7" t="s">
        <v>11</v>
      </c>
      <c r="C6" s="7" t="s">
        <v>12</v>
      </c>
      <c r="D6" s="6">
        <v>3</v>
      </c>
      <c r="E6" s="6">
        <v>18</v>
      </c>
      <c r="F6" s="6">
        <f>F5+E6</f>
        <v>41</v>
      </c>
      <c r="G6" s="7" t="s">
        <v>13</v>
      </c>
    </row>
    <row r="7" spans="1:7" ht="50.25" customHeight="1">
      <c r="A7" s="4">
        <v>3</v>
      </c>
      <c r="B7" s="5" t="s">
        <v>14</v>
      </c>
      <c r="C7" s="5" t="s">
        <v>15</v>
      </c>
      <c r="D7" s="4">
        <v>5</v>
      </c>
      <c r="E7" s="4">
        <v>32</v>
      </c>
      <c r="F7" s="4">
        <f>F6+E7</f>
        <v>73</v>
      </c>
      <c r="G7" s="5" t="s">
        <v>16</v>
      </c>
    </row>
    <row r="8" spans="1:7" ht="50.25" customHeight="1">
      <c r="A8" s="6">
        <v>4</v>
      </c>
      <c r="B8" s="7" t="s">
        <v>17</v>
      </c>
      <c r="C8" s="7" t="s">
        <v>18</v>
      </c>
      <c r="D8" s="6">
        <v>4</v>
      </c>
      <c r="E8" s="6">
        <v>26</v>
      </c>
      <c r="F8" s="6">
        <f>F7+E8</f>
        <v>99</v>
      </c>
      <c r="G8" s="7" t="s">
        <v>19</v>
      </c>
    </row>
    <row r="9" spans="1:7" ht="50.25" customHeight="1">
      <c r="A9" s="4">
        <v>5</v>
      </c>
      <c r="B9" s="5" t="s">
        <v>20</v>
      </c>
      <c r="C9" s="5" t="s">
        <v>21</v>
      </c>
      <c r="D9" s="4">
        <v>5</v>
      </c>
      <c r="E9" s="4">
        <v>26</v>
      </c>
      <c r="F9" s="4">
        <f>F8+E9</f>
        <v>125</v>
      </c>
      <c r="G9" s="5" t="s">
        <v>22</v>
      </c>
    </row>
    <row r="10" spans="1:7" ht="50.25" customHeight="1">
      <c r="A10" s="6">
        <v>6</v>
      </c>
      <c r="B10" s="7" t="s">
        <v>23</v>
      </c>
      <c r="C10" s="7" t="s">
        <v>24</v>
      </c>
      <c r="D10" s="6">
        <v>7</v>
      </c>
      <c r="E10" s="6">
        <v>38</v>
      </c>
      <c r="F10" s="6">
        <f>F9+E10</f>
        <v>163</v>
      </c>
      <c r="G10" s="7" t="s">
        <v>25</v>
      </c>
    </row>
    <row r="11" spans="1:7" ht="38.25" customHeight="1">
      <c r="A11" s="8" t="s">
        <v>26</v>
      </c>
      <c r="B11" s="8" t="s">
        <v>27</v>
      </c>
      <c r="C11" s="8" t="s">
        <v>27</v>
      </c>
      <c r="D11" s="8">
        <f>SUM(D5:D10)</f>
        <v>29</v>
      </c>
      <c r="E11" s="8">
        <f>SUM(E5:E10)</f>
        <v>163</v>
      </c>
      <c r="F11" s="8" t="s">
        <v>27</v>
      </c>
      <c r="G11" s="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13" workbookViewId="0">
      <selection activeCell="B18" sqref="B18"/>
    </sheetView>
  </sheetViews>
  <sheetFormatPr defaultRowHeight="15"/>
  <cols>
    <col min="1" max="1" width="12" customWidth="1"/>
    <col min="2" max="2" width="47" customWidth="1"/>
    <col min="3" max="3" width="16" customWidth="1"/>
    <col min="4" max="4" width="27" customWidth="1"/>
    <col min="5" max="5" width="21" customWidth="1"/>
    <col min="6" max="6" width="23" customWidth="1"/>
    <col min="7" max="7" width="19" customWidth="1"/>
    <col min="8" max="8" width="23" customWidth="1"/>
    <col min="9" max="9" width="16" customWidth="1"/>
    <col min="10" max="11" width="50" customWidth="1"/>
  </cols>
  <sheetData>
    <row r="1" spans="1:11" ht="28.5" customHeight="1">
      <c r="A1" s="10" t="s">
        <v>29</v>
      </c>
      <c r="B1" s="18" t="s">
        <v>30</v>
      </c>
    </row>
    <row r="2" spans="1:11" ht="28.5" customHeight="1">
      <c r="A2" s="10" t="s">
        <v>31</v>
      </c>
      <c r="B2" s="11" t="s">
        <v>32</v>
      </c>
    </row>
    <row r="3" spans="1:11" ht="28.5" customHeight="1">
      <c r="A3" s="10" t="s">
        <v>33</v>
      </c>
      <c r="B3" s="11" t="s">
        <v>34</v>
      </c>
    </row>
    <row r="4" spans="1:11" ht="28.5" customHeight="1">
      <c r="A4" s="10" t="s">
        <v>35</v>
      </c>
      <c r="B4" s="11" t="s">
        <v>36</v>
      </c>
    </row>
    <row r="6" spans="1:11" ht="50.25" customHeight="1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t="50.25" customHeight="1">
      <c r="A7" s="4" t="s">
        <v>48</v>
      </c>
      <c r="B7" s="5" t="s">
        <v>49</v>
      </c>
      <c r="C7" s="4" t="s">
        <v>50</v>
      </c>
      <c r="D7" s="4" t="s">
        <v>27</v>
      </c>
      <c r="E7" s="4">
        <v>1</v>
      </c>
      <c r="F7" s="4" t="s">
        <v>51</v>
      </c>
      <c r="G7" s="4">
        <v>5</v>
      </c>
      <c r="H7" s="4" t="s">
        <v>52</v>
      </c>
      <c r="I7" s="4" t="s">
        <v>27</v>
      </c>
      <c r="J7" s="5" t="s">
        <v>53</v>
      </c>
      <c r="K7" s="5" t="s">
        <v>54</v>
      </c>
    </row>
    <row r="8" spans="1:11" ht="50.25" customHeight="1">
      <c r="A8" s="6" t="s">
        <v>55</v>
      </c>
      <c r="B8" s="7" t="s">
        <v>56</v>
      </c>
      <c r="C8" s="6" t="s">
        <v>50</v>
      </c>
      <c r="D8" s="6" t="s">
        <v>27</v>
      </c>
      <c r="E8" s="6">
        <v>1</v>
      </c>
      <c r="F8" s="6" t="s">
        <v>51</v>
      </c>
      <c r="G8" s="6">
        <v>5</v>
      </c>
      <c r="H8" s="6" t="s">
        <v>52</v>
      </c>
      <c r="I8" s="6" t="s">
        <v>27</v>
      </c>
      <c r="J8" s="7" t="s">
        <v>57</v>
      </c>
      <c r="K8" s="7" t="s">
        <v>58</v>
      </c>
    </row>
    <row r="9" spans="1:11" ht="50.25" customHeight="1">
      <c r="A9" s="4" t="s">
        <v>59</v>
      </c>
      <c r="B9" s="5" t="s">
        <v>60</v>
      </c>
      <c r="C9" s="4" t="s">
        <v>50</v>
      </c>
      <c r="D9" s="4" t="s">
        <v>27</v>
      </c>
      <c r="E9" s="4">
        <v>1</v>
      </c>
      <c r="F9" s="4" t="s">
        <v>52</v>
      </c>
      <c r="G9" s="4">
        <v>3</v>
      </c>
      <c r="H9" s="4" t="s">
        <v>61</v>
      </c>
      <c r="I9" s="4" t="s">
        <v>27</v>
      </c>
      <c r="J9" s="5" t="s">
        <v>62</v>
      </c>
      <c r="K9" s="5" t="s">
        <v>63</v>
      </c>
    </row>
    <row r="10" spans="1:11" ht="50.25" customHeight="1">
      <c r="A10" s="6" t="s">
        <v>64</v>
      </c>
      <c r="B10" s="7" t="s">
        <v>65</v>
      </c>
      <c r="C10" s="6" t="s">
        <v>50</v>
      </c>
      <c r="D10" s="6" t="s">
        <v>27</v>
      </c>
      <c r="E10" s="6">
        <v>1</v>
      </c>
      <c r="F10" s="6" t="s">
        <v>51</v>
      </c>
      <c r="G10" s="6">
        <v>5</v>
      </c>
      <c r="H10" s="6" t="s">
        <v>52</v>
      </c>
      <c r="I10" s="6" t="s">
        <v>27</v>
      </c>
      <c r="J10" s="7" t="s">
        <v>66</v>
      </c>
      <c r="K10" s="7" t="s">
        <v>67</v>
      </c>
    </row>
    <row r="11" spans="1:11" ht="50.25" customHeight="1">
      <c r="A11" s="4" t="s">
        <v>68</v>
      </c>
      <c r="B11" s="5" t="s">
        <v>69</v>
      </c>
      <c r="C11" s="4" t="s">
        <v>50</v>
      </c>
      <c r="D11" s="4" t="s">
        <v>27</v>
      </c>
      <c r="E11" s="4">
        <v>2</v>
      </c>
      <c r="F11" s="4" t="s">
        <v>51</v>
      </c>
      <c r="G11" s="4">
        <v>8</v>
      </c>
      <c r="H11" s="4" t="s">
        <v>51</v>
      </c>
      <c r="I11" s="4" t="s">
        <v>27</v>
      </c>
      <c r="J11" s="5" t="s">
        <v>70</v>
      </c>
      <c r="K11" s="5" t="s">
        <v>71</v>
      </c>
    </row>
    <row r="12" spans="1:11" ht="50.25" customHeight="1">
      <c r="A12" s="6" t="s">
        <v>72</v>
      </c>
      <c r="B12" s="7" t="s">
        <v>73</v>
      </c>
      <c r="C12" s="6" t="s">
        <v>50</v>
      </c>
      <c r="D12" s="6" t="s">
        <v>27</v>
      </c>
      <c r="E12" s="6">
        <v>3</v>
      </c>
      <c r="F12" s="6" t="s">
        <v>51</v>
      </c>
      <c r="G12" s="6">
        <v>5</v>
      </c>
      <c r="H12" s="6" t="s">
        <v>52</v>
      </c>
      <c r="I12" s="6" t="s">
        <v>27</v>
      </c>
      <c r="J12" s="7" t="s">
        <v>74</v>
      </c>
      <c r="K12" s="7" t="s">
        <v>75</v>
      </c>
    </row>
    <row r="13" spans="1:11" ht="50.25" customHeight="1">
      <c r="A13" s="4" t="s">
        <v>76</v>
      </c>
      <c r="B13" s="5" t="s">
        <v>77</v>
      </c>
      <c r="C13" s="4" t="s">
        <v>78</v>
      </c>
      <c r="D13" s="4" t="s">
        <v>27</v>
      </c>
      <c r="E13" s="4">
        <v>2</v>
      </c>
      <c r="F13" s="4" t="s">
        <v>51</v>
      </c>
      <c r="G13" s="4">
        <v>5</v>
      </c>
      <c r="H13" s="4" t="s">
        <v>61</v>
      </c>
      <c r="I13" s="4" t="s">
        <v>27</v>
      </c>
      <c r="J13" s="5" t="s">
        <v>79</v>
      </c>
      <c r="K13" s="5" t="s">
        <v>80</v>
      </c>
    </row>
    <row r="14" spans="1:11" ht="50.25" customHeight="1">
      <c r="A14" s="6" t="s">
        <v>81</v>
      </c>
      <c r="B14" s="7" t="s">
        <v>82</v>
      </c>
      <c r="C14" s="6" t="s">
        <v>83</v>
      </c>
      <c r="D14" s="6" t="s">
        <v>27</v>
      </c>
      <c r="E14" s="6">
        <v>3</v>
      </c>
      <c r="F14" s="6" t="s">
        <v>51</v>
      </c>
      <c r="G14" s="6">
        <v>8</v>
      </c>
      <c r="H14" s="6" t="s">
        <v>51</v>
      </c>
      <c r="I14" s="6" t="s">
        <v>27</v>
      </c>
      <c r="J14" s="7" t="s">
        <v>84</v>
      </c>
      <c r="K14" s="7" t="s">
        <v>85</v>
      </c>
    </row>
    <row r="15" spans="1:11" ht="50.25" customHeight="1">
      <c r="A15" s="4" t="s">
        <v>86</v>
      </c>
      <c r="B15" s="5" t="s">
        <v>87</v>
      </c>
      <c r="C15" s="4" t="s">
        <v>78</v>
      </c>
      <c r="D15" s="4" t="s">
        <v>27</v>
      </c>
      <c r="E15" s="4">
        <v>3</v>
      </c>
      <c r="F15" s="4" t="s">
        <v>51</v>
      </c>
      <c r="G15" s="4">
        <v>8</v>
      </c>
      <c r="H15" s="4" t="s">
        <v>52</v>
      </c>
      <c r="I15" s="4" t="s">
        <v>27</v>
      </c>
      <c r="J15" s="5" t="s">
        <v>88</v>
      </c>
      <c r="K15" s="5" t="s">
        <v>27</v>
      </c>
    </row>
    <row r="16" spans="1:11" ht="50.25" customHeight="1">
      <c r="A16" s="6" t="s">
        <v>89</v>
      </c>
      <c r="B16" s="7" t="s">
        <v>90</v>
      </c>
      <c r="C16" s="6" t="s">
        <v>83</v>
      </c>
      <c r="D16" s="6" t="s">
        <v>27</v>
      </c>
      <c r="E16" s="6">
        <v>3</v>
      </c>
      <c r="F16" s="6" t="s">
        <v>51</v>
      </c>
      <c r="G16" s="6">
        <v>8</v>
      </c>
      <c r="H16" s="6" t="s">
        <v>51</v>
      </c>
      <c r="I16" s="6" t="s">
        <v>27</v>
      </c>
      <c r="J16" s="7" t="s">
        <v>91</v>
      </c>
      <c r="K16" s="7" t="s">
        <v>92</v>
      </c>
    </row>
    <row r="17" spans="1:11" ht="50.25" customHeight="1">
      <c r="A17" s="4" t="s">
        <v>93</v>
      </c>
      <c r="B17" s="5" t="s">
        <v>94</v>
      </c>
      <c r="C17" s="4" t="s">
        <v>50</v>
      </c>
      <c r="D17" s="4" t="s">
        <v>27</v>
      </c>
      <c r="E17" s="4">
        <v>4</v>
      </c>
      <c r="F17" s="4" t="s">
        <v>52</v>
      </c>
      <c r="G17" s="4">
        <v>5</v>
      </c>
      <c r="H17" s="4" t="s">
        <v>52</v>
      </c>
      <c r="I17" s="4" t="s">
        <v>27</v>
      </c>
      <c r="J17" s="5" t="s">
        <v>95</v>
      </c>
      <c r="K17" s="5" t="s">
        <v>96</v>
      </c>
    </row>
    <row r="18" spans="1:11" ht="50.25" customHeight="1">
      <c r="A18" s="6" t="s">
        <v>97</v>
      </c>
      <c r="B18" s="7" t="s">
        <v>98</v>
      </c>
      <c r="C18" s="6" t="s">
        <v>78</v>
      </c>
      <c r="D18" s="6" t="s">
        <v>27</v>
      </c>
      <c r="E18" s="6">
        <v>4</v>
      </c>
      <c r="F18" s="6" t="s">
        <v>51</v>
      </c>
      <c r="G18" s="6">
        <v>5</v>
      </c>
      <c r="H18" s="6" t="s">
        <v>52</v>
      </c>
      <c r="I18" s="6" t="s">
        <v>27</v>
      </c>
      <c r="J18" s="7" t="s">
        <v>99</v>
      </c>
      <c r="K18" s="7" t="s">
        <v>100</v>
      </c>
    </row>
    <row r="19" spans="1:11" ht="50.25" customHeight="1">
      <c r="A19" s="4" t="s">
        <v>101</v>
      </c>
      <c r="B19" s="5" t="s">
        <v>102</v>
      </c>
      <c r="C19" s="4" t="s">
        <v>78</v>
      </c>
      <c r="D19" s="4" t="s">
        <v>27</v>
      </c>
      <c r="E19" s="4">
        <v>4</v>
      </c>
      <c r="F19" s="4" t="s">
        <v>51</v>
      </c>
      <c r="G19" s="4">
        <v>8</v>
      </c>
      <c r="H19" s="4" t="s">
        <v>52</v>
      </c>
      <c r="I19" s="4" t="s">
        <v>27</v>
      </c>
      <c r="J19" s="5" t="s">
        <v>103</v>
      </c>
      <c r="K19" s="5" t="s">
        <v>104</v>
      </c>
    </row>
    <row r="20" spans="1:11" ht="50.25" customHeight="1">
      <c r="A20" s="6" t="s">
        <v>105</v>
      </c>
      <c r="B20" s="7" t="s">
        <v>106</v>
      </c>
      <c r="C20" s="6" t="s">
        <v>50</v>
      </c>
      <c r="D20" s="6" t="s">
        <v>27</v>
      </c>
      <c r="E20" s="6">
        <v>5</v>
      </c>
      <c r="F20" s="6" t="s">
        <v>51</v>
      </c>
      <c r="G20" s="6">
        <v>8</v>
      </c>
      <c r="H20" s="6" t="s">
        <v>51</v>
      </c>
      <c r="I20" s="6" t="s">
        <v>27</v>
      </c>
      <c r="J20" s="7" t="s">
        <v>107</v>
      </c>
      <c r="K20" s="7" t="s">
        <v>27</v>
      </c>
    </row>
    <row r="21" spans="1:11" ht="50.25" customHeight="1">
      <c r="A21" s="4" t="s">
        <v>108</v>
      </c>
      <c r="B21" s="5" t="s">
        <v>109</v>
      </c>
      <c r="C21" s="4" t="s">
        <v>50</v>
      </c>
      <c r="D21" s="4" t="s">
        <v>27</v>
      </c>
      <c r="E21" s="4">
        <v>5</v>
      </c>
      <c r="F21" s="4" t="s">
        <v>51</v>
      </c>
      <c r="G21" s="4">
        <v>5</v>
      </c>
      <c r="H21" s="4" t="s">
        <v>52</v>
      </c>
      <c r="I21" s="4" t="s">
        <v>27</v>
      </c>
      <c r="J21" s="5" t="s">
        <v>110</v>
      </c>
      <c r="K21" s="5" t="s">
        <v>111</v>
      </c>
    </row>
    <row r="22" spans="1:11" ht="50.25" customHeight="1">
      <c r="A22" s="6" t="s">
        <v>112</v>
      </c>
      <c r="B22" s="7" t="s">
        <v>113</v>
      </c>
      <c r="C22" s="6" t="s">
        <v>50</v>
      </c>
      <c r="D22" s="6" t="s">
        <v>27</v>
      </c>
      <c r="E22" s="6">
        <v>5</v>
      </c>
      <c r="F22" s="6" t="s">
        <v>51</v>
      </c>
      <c r="G22" s="6">
        <v>5</v>
      </c>
      <c r="H22" s="6" t="s">
        <v>52</v>
      </c>
      <c r="I22" s="6" t="s">
        <v>27</v>
      </c>
      <c r="J22" s="7" t="s">
        <v>114</v>
      </c>
      <c r="K22" s="7" t="s">
        <v>115</v>
      </c>
    </row>
    <row r="23" spans="1:11" ht="50.25" customHeight="1">
      <c r="A23" s="4" t="s">
        <v>116</v>
      </c>
      <c r="B23" s="5" t="s">
        <v>117</v>
      </c>
      <c r="C23" s="4" t="s">
        <v>83</v>
      </c>
      <c r="D23" s="4" t="s">
        <v>27</v>
      </c>
      <c r="E23" s="4">
        <v>5</v>
      </c>
      <c r="F23" s="4" t="s">
        <v>52</v>
      </c>
      <c r="G23" s="4">
        <v>3</v>
      </c>
      <c r="H23" s="4" t="s">
        <v>61</v>
      </c>
      <c r="I23" s="4" t="s">
        <v>27</v>
      </c>
      <c r="J23" s="5" t="s">
        <v>118</v>
      </c>
      <c r="K23" s="5" t="s">
        <v>119</v>
      </c>
    </row>
    <row r="24" spans="1:11" ht="50.25" customHeight="1">
      <c r="A24" s="6" t="s">
        <v>120</v>
      </c>
      <c r="B24" s="7" t="s">
        <v>121</v>
      </c>
      <c r="C24" s="6" t="s">
        <v>83</v>
      </c>
      <c r="D24" s="6" t="s">
        <v>27</v>
      </c>
      <c r="E24" s="6">
        <v>5</v>
      </c>
      <c r="F24" s="6" t="s">
        <v>51</v>
      </c>
      <c r="G24" s="6">
        <v>5</v>
      </c>
      <c r="H24" s="6" t="s">
        <v>51</v>
      </c>
      <c r="I24" s="6" t="s">
        <v>27</v>
      </c>
      <c r="J24" s="7" t="s">
        <v>122</v>
      </c>
      <c r="K24" s="7" t="s">
        <v>123</v>
      </c>
    </row>
    <row r="25" spans="1:11" ht="50.25" customHeight="1">
      <c r="A25" s="4" t="s">
        <v>124</v>
      </c>
      <c r="B25" s="5" t="s">
        <v>125</v>
      </c>
      <c r="C25" s="4" t="s">
        <v>50</v>
      </c>
      <c r="D25" s="4" t="s">
        <v>27</v>
      </c>
      <c r="E25" s="4">
        <v>6</v>
      </c>
      <c r="F25" s="4" t="s">
        <v>51</v>
      </c>
      <c r="G25" s="4">
        <v>8</v>
      </c>
      <c r="H25" s="4" t="s">
        <v>51</v>
      </c>
      <c r="I25" s="4" t="s">
        <v>27</v>
      </c>
      <c r="J25" s="5" t="s">
        <v>126</v>
      </c>
      <c r="K25" s="5" t="s">
        <v>27</v>
      </c>
    </row>
    <row r="26" spans="1:11" ht="50.25" customHeight="1">
      <c r="A26" s="6" t="s">
        <v>127</v>
      </c>
      <c r="B26" s="7" t="s">
        <v>128</v>
      </c>
      <c r="C26" s="6" t="s">
        <v>50</v>
      </c>
      <c r="D26" s="6" t="s">
        <v>27</v>
      </c>
      <c r="E26" s="6">
        <v>6</v>
      </c>
      <c r="F26" s="6" t="s">
        <v>51</v>
      </c>
      <c r="G26" s="6">
        <v>5</v>
      </c>
      <c r="H26" s="6" t="s">
        <v>51</v>
      </c>
      <c r="I26" s="6" t="s">
        <v>27</v>
      </c>
      <c r="J26" s="7" t="s">
        <v>129</v>
      </c>
      <c r="K26" s="7" t="s">
        <v>27</v>
      </c>
    </row>
    <row r="27" spans="1:11" ht="50.25" customHeight="1">
      <c r="A27" s="4" t="s">
        <v>130</v>
      </c>
      <c r="B27" s="5" t="s">
        <v>131</v>
      </c>
      <c r="C27" s="4" t="s">
        <v>78</v>
      </c>
      <c r="D27" s="4" t="s">
        <v>27</v>
      </c>
      <c r="E27" s="4">
        <v>6</v>
      </c>
      <c r="F27" s="4" t="s">
        <v>51</v>
      </c>
      <c r="G27" s="4">
        <v>5</v>
      </c>
      <c r="H27" s="4" t="s">
        <v>52</v>
      </c>
      <c r="I27" s="4" t="s">
        <v>27</v>
      </c>
      <c r="J27" s="5" t="s">
        <v>132</v>
      </c>
      <c r="K27" s="5" t="s">
        <v>133</v>
      </c>
    </row>
    <row r="28" spans="1:11" ht="50.25" customHeight="1">
      <c r="A28" s="4" t="s">
        <v>134</v>
      </c>
      <c r="B28" s="5" t="s">
        <v>135</v>
      </c>
      <c r="C28" s="4" t="s">
        <v>50</v>
      </c>
      <c r="D28" s="4" t="s">
        <v>27</v>
      </c>
      <c r="E28" s="4">
        <v>6</v>
      </c>
      <c r="F28" s="4" t="s">
        <v>51</v>
      </c>
      <c r="G28" s="4">
        <v>5</v>
      </c>
      <c r="H28" s="4" t="s">
        <v>52</v>
      </c>
      <c r="I28" s="4" t="s">
        <v>27</v>
      </c>
      <c r="J28" s="5" t="s">
        <v>136</v>
      </c>
      <c r="K28" s="5" t="s">
        <v>137</v>
      </c>
    </row>
    <row r="29" spans="1:11" ht="50.25" customHeight="1">
      <c r="A29" s="6" t="s">
        <v>138</v>
      </c>
      <c r="B29" s="7" t="s">
        <v>139</v>
      </c>
      <c r="C29" s="6" t="s">
        <v>50</v>
      </c>
      <c r="D29" s="6" t="s">
        <v>27</v>
      </c>
      <c r="E29" s="6">
        <v>6</v>
      </c>
      <c r="F29" s="6" t="s">
        <v>51</v>
      </c>
      <c r="G29" s="6">
        <v>5</v>
      </c>
      <c r="H29" s="6" t="s">
        <v>51</v>
      </c>
      <c r="I29" s="6" t="s">
        <v>27</v>
      </c>
      <c r="J29" s="7" t="s">
        <v>140</v>
      </c>
      <c r="K29" s="7" t="s">
        <v>141</v>
      </c>
    </row>
    <row r="30" spans="1:11" ht="50.25" customHeight="1">
      <c r="A30" s="4" t="s">
        <v>142</v>
      </c>
      <c r="B30" s="5" t="s">
        <v>143</v>
      </c>
      <c r="C30" s="4" t="s">
        <v>50</v>
      </c>
      <c r="D30" s="4" t="s">
        <v>27</v>
      </c>
      <c r="E30" s="4">
        <v>6</v>
      </c>
      <c r="F30" s="4" t="s">
        <v>52</v>
      </c>
      <c r="G30" s="4">
        <v>5</v>
      </c>
      <c r="H30" s="4" t="s">
        <v>52</v>
      </c>
      <c r="I30" s="4" t="s">
        <v>27</v>
      </c>
      <c r="J30" s="5" t="s">
        <v>144</v>
      </c>
      <c r="K30" s="5" t="s">
        <v>27</v>
      </c>
    </row>
    <row r="31" spans="1:11" ht="50.25" customHeight="1">
      <c r="A31" s="4" t="s">
        <v>145</v>
      </c>
      <c r="B31" s="5" t="s">
        <v>146</v>
      </c>
      <c r="C31" s="4" t="s">
        <v>50</v>
      </c>
      <c r="D31" s="4" t="s">
        <v>27</v>
      </c>
      <c r="E31" s="4">
        <v>1</v>
      </c>
      <c r="F31" s="4" t="s">
        <v>51</v>
      </c>
      <c r="G31" s="4">
        <v>5</v>
      </c>
      <c r="H31" s="4" t="s">
        <v>52</v>
      </c>
      <c r="I31" s="4" t="s">
        <v>27</v>
      </c>
      <c r="J31" s="5" t="s">
        <v>147</v>
      </c>
      <c r="K31" s="5" t="s">
        <v>148</v>
      </c>
    </row>
    <row r="32" spans="1:11" ht="50.25" customHeight="1">
      <c r="A32" s="6" t="s">
        <v>149</v>
      </c>
      <c r="B32" s="7" t="s">
        <v>150</v>
      </c>
      <c r="C32" s="6" t="s">
        <v>50</v>
      </c>
      <c r="D32" s="6" t="s">
        <v>27</v>
      </c>
      <c r="E32" s="6">
        <v>2</v>
      </c>
      <c r="F32" s="6" t="s">
        <v>51</v>
      </c>
      <c r="G32" s="6">
        <v>5</v>
      </c>
      <c r="H32" s="6" t="s">
        <v>51</v>
      </c>
      <c r="I32" s="6" t="s">
        <v>27</v>
      </c>
      <c r="J32" s="7" t="s">
        <v>151</v>
      </c>
      <c r="K32" s="7" t="s">
        <v>152</v>
      </c>
    </row>
    <row r="33" spans="1:11" ht="50.25" customHeight="1">
      <c r="A33" s="4" t="s">
        <v>153</v>
      </c>
      <c r="B33" s="5" t="s">
        <v>154</v>
      </c>
      <c r="C33" s="4" t="s">
        <v>50</v>
      </c>
      <c r="D33" s="4" t="s">
        <v>27</v>
      </c>
      <c r="E33" s="4">
        <v>3</v>
      </c>
      <c r="F33" s="4" t="s">
        <v>52</v>
      </c>
      <c r="G33" s="4">
        <v>3</v>
      </c>
      <c r="H33" s="4" t="s">
        <v>61</v>
      </c>
      <c r="I33" s="4" t="s">
        <v>27</v>
      </c>
      <c r="J33" s="5" t="s">
        <v>155</v>
      </c>
      <c r="K33" s="5" t="s">
        <v>156</v>
      </c>
    </row>
    <row r="34" spans="1:11" ht="50.25" customHeight="1">
      <c r="A34" s="6" t="s">
        <v>157</v>
      </c>
      <c r="B34" s="7" t="s">
        <v>158</v>
      </c>
      <c r="C34" s="6" t="s">
        <v>83</v>
      </c>
      <c r="D34" s="6" t="s">
        <v>27</v>
      </c>
      <c r="E34" s="6">
        <v>6</v>
      </c>
      <c r="F34" s="6" t="s">
        <v>52</v>
      </c>
      <c r="G34" s="6">
        <v>5</v>
      </c>
      <c r="H34" s="6" t="s">
        <v>52</v>
      </c>
      <c r="I34" s="6" t="s">
        <v>27</v>
      </c>
      <c r="J34" s="7" t="s">
        <v>159</v>
      </c>
      <c r="K34" s="7" t="s">
        <v>27</v>
      </c>
    </row>
    <row r="35" spans="1:11" ht="50.25" customHeight="1">
      <c r="A35" s="4" t="s">
        <v>160</v>
      </c>
      <c r="B35" s="5" t="s">
        <v>161</v>
      </c>
      <c r="C35" s="4" t="s">
        <v>78</v>
      </c>
      <c r="D35" s="4" t="s">
        <v>27</v>
      </c>
      <c r="E35" s="4">
        <v>4</v>
      </c>
      <c r="F35" s="4" t="s">
        <v>51</v>
      </c>
      <c r="G35" s="4">
        <v>8</v>
      </c>
      <c r="H35" s="4" t="s">
        <v>51</v>
      </c>
      <c r="I35" s="4" t="s">
        <v>27</v>
      </c>
      <c r="J35" s="5" t="s">
        <v>162</v>
      </c>
      <c r="K35" s="5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>
      <selection activeCell="A2" sqref="A2"/>
    </sheetView>
  </sheetViews>
  <sheetFormatPr defaultRowHeight="15"/>
  <cols>
    <col min="1" max="1" width="50" customWidth="1"/>
    <col min="2" max="2" width="47" customWidth="1"/>
    <col min="3" max="4" width="12" customWidth="1"/>
    <col min="5" max="5" width="21" customWidth="1"/>
    <col min="6" max="6" width="20" customWidth="1"/>
    <col min="7" max="7" width="12" customWidth="1"/>
    <col min="8" max="8" width="50" customWidth="1"/>
  </cols>
  <sheetData>
    <row r="1" spans="1:8">
      <c r="A1" s="1" t="s">
        <v>163</v>
      </c>
    </row>
    <row r="2" spans="1:8">
      <c r="A2" s="2"/>
    </row>
    <row r="4" spans="1:8">
      <c r="A4" s="3" t="s">
        <v>164</v>
      </c>
      <c r="B4" s="3" t="s">
        <v>165</v>
      </c>
      <c r="C4" s="3" t="s">
        <v>166</v>
      </c>
      <c r="D4" s="3" t="s">
        <v>167</v>
      </c>
      <c r="E4" s="3" t="s">
        <v>168</v>
      </c>
      <c r="F4" s="3" t="s">
        <v>169</v>
      </c>
      <c r="G4" s="3" t="s">
        <v>170</v>
      </c>
      <c r="H4" s="3" t="s">
        <v>171</v>
      </c>
    </row>
    <row r="5" spans="1:8" ht="48.75" customHeight="1">
      <c r="A5" s="4" t="s">
        <v>48</v>
      </c>
      <c r="B5" s="5" t="s">
        <v>49</v>
      </c>
      <c r="C5" s="4">
        <v>1</v>
      </c>
      <c r="D5" s="4" t="s">
        <v>51</v>
      </c>
      <c r="E5" s="4">
        <v>5</v>
      </c>
      <c r="F5" s="4" t="s">
        <v>172</v>
      </c>
      <c r="G5" s="4" t="s">
        <v>52</v>
      </c>
      <c r="H5" s="5" t="s">
        <v>173</v>
      </c>
    </row>
    <row r="6" spans="1:8" ht="48.75" customHeight="1">
      <c r="A6" s="6" t="s">
        <v>55</v>
      </c>
      <c r="B6" s="7" t="s">
        <v>56</v>
      </c>
      <c r="C6" s="6">
        <v>1</v>
      </c>
      <c r="D6" s="6" t="s">
        <v>51</v>
      </c>
      <c r="E6" s="6">
        <v>5</v>
      </c>
      <c r="F6" s="6" t="s">
        <v>172</v>
      </c>
      <c r="G6" s="6" t="s">
        <v>52</v>
      </c>
      <c r="H6" s="7" t="s">
        <v>174</v>
      </c>
    </row>
    <row r="7" spans="1:8" ht="48.75" customHeight="1">
      <c r="A7" s="4" t="s">
        <v>59</v>
      </c>
      <c r="B7" s="5" t="s">
        <v>60</v>
      </c>
      <c r="C7" s="4">
        <v>1</v>
      </c>
      <c r="D7" s="4" t="s">
        <v>52</v>
      </c>
      <c r="E7" s="4">
        <v>3</v>
      </c>
      <c r="F7" s="4" t="s">
        <v>175</v>
      </c>
      <c r="G7" s="4" t="s">
        <v>61</v>
      </c>
      <c r="H7" s="5" t="s">
        <v>176</v>
      </c>
    </row>
    <row r="8" spans="1:8" ht="48.75" customHeight="1">
      <c r="A8" s="6" t="s">
        <v>64</v>
      </c>
      <c r="B8" s="7" t="s">
        <v>65</v>
      </c>
      <c r="C8" s="6">
        <v>1</v>
      </c>
      <c r="D8" s="6" t="s">
        <v>51</v>
      </c>
      <c r="E8" s="6">
        <v>5</v>
      </c>
      <c r="F8" s="6" t="s">
        <v>172</v>
      </c>
      <c r="G8" s="6" t="s">
        <v>52</v>
      </c>
      <c r="H8" s="7" t="s">
        <v>177</v>
      </c>
    </row>
    <row r="9" spans="1:8" ht="48.75" customHeight="1">
      <c r="A9" s="4" t="s">
        <v>68</v>
      </c>
      <c r="B9" s="5" t="s">
        <v>69</v>
      </c>
      <c r="C9" s="4">
        <v>2</v>
      </c>
      <c r="D9" s="4" t="s">
        <v>51</v>
      </c>
      <c r="E9" s="4">
        <v>8</v>
      </c>
      <c r="F9" s="4" t="s">
        <v>178</v>
      </c>
      <c r="G9" s="4" t="s">
        <v>51</v>
      </c>
      <c r="H9" s="5" t="s">
        <v>179</v>
      </c>
    </row>
    <row r="10" spans="1:8" ht="48.75" customHeight="1">
      <c r="A10" s="6" t="s">
        <v>72</v>
      </c>
      <c r="B10" s="7" t="s">
        <v>73</v>
      </c>
      <c r="C10" s="6">
        <v>3</v>
      </c>
      <c r="D10" s="6" t="s">
        <v>51</v>
      </c>
      <c r="E10" s="6">
        <v>5</v>
      </c>
      <c r="F10" s="6" t="s">
        <v>172</v>
      </c>
      <c r="G10" s="6" t="s">
        <v>52</v>
      </c>
      <c r="H10" s="7" t="s">
        <v>180</v>
      </c>
    </row>
    <row r="11" spans="1:8" ht="48.75" customHeight="1">
      <c r="A11" s="4" t="s">
        <v>76</v>
      </c>
      <c r="B11" s="5" t="s">
        <v>77</v>
      </c>
      <c r="C11" s="4">
        <v>2</v>
      </c>
      <c r="D11" s="4" t="s">
        <v>51</v>
      </c>
      <c r="E11" s="4">
        <v>5</v>
      </c>
      <c r="F11" s="4" t="s">
        <v>172</v>
      </c>
      <c r="G11" s="4" t="s">
        <v>61</v>
      </c>
      <c r="H11" s="5" t="s">
        <v>181</v>
      </c>
    </row>
    <row r="12" spans="1:8" ht="48.75" customHeight="1">
      <c r="A12" s="6" t="s">
        <v>81</v>
      </c>
      <c r="B12" s="7" t="s">
        <v>82</v>
      </c>
      <c r="C12" s="6">
        <v>3</v>
      </c>
      <c r="D12" s="6" t="s">
        <v>51</v>
      </c>
      <c r="E12" s="6">
        <v>8</v>
      </c>
      <c r="F12" s="6" t="s">
        <v>178</v>
      </c>
      <c r="G12" s="6" t="s">
        <v>51</v>
      </c>
      <c r="H12" s="7" t="s">
        <v>182</v>
      </c>
    </row>
    <row r="13" spans="1:8" ht="48.75" customHeight="1">
      <c r="A13" s="4" t="s">
        <v>86</v>
      </c>
      <c r="B13" s="5" t="s">
        <v>87</v>
      </c>
      <c r="C13" s="4">
        <v>3</v>
      </c>
      <c r="D13" s="4" t="s">
        <v>51</v>
      </c>
      <c r="E13" s="4">
        <v>8</v>
      </c>
      <c r="F13" s="4" t="s">
        <v>178</v>
      </c>
      <c r="G13" s="4" t="s">
        <v>52</v>
      </c>
      <c r="H13" s="5" t="s">
        <v>183</v>
      </c>
    </row>
    <row r="14" spans="1:8" ht="48.75" customHeight="1">
      <c r="A14" s="6" t="s">
        <v>89</v>
      </c>
      <c r="B14" s="7" t="s">
        <v>90</v>
      </c>
      <c r="C14" s="6">
        <v>3</v>
      </c>
      <c r="D14" s="6" t="s">
        <v>51</v>
      </c>
      <c r="E14" s="6">
        <v>8</v>
      </c>
      <c r="F14" s="6" t="s">
        <v>178</v>
      </c>
      <c r="G14" s="6" t="s">
        <v>51</v>
      </c>
      <c r="H14" s="7" t="s">
        <v>184</v>
      </c>
    </row>
    <row r="15" spans="1:8" ht="48.75" customHeight="1">
      <c r="A15" s="4" t="s">
        <v>93</v>
      </c>
      <c r="B15" s="5" t="s">
        <v>94</v>
      </c>
      <c r="C15" s="4">
        <v>4</v>
      </c>
      <c r="D15" s="4" t="s">
        <v>52</v>
      </c>
      <c r="E15" s="4">
        <v>5</v>
      </c>
      <c r="F15" s="4" t="s">
        <v>172</v>
      </c>
      <c r="G15" s="4" t="s">
        <v>52</v>
      </c>
      <c r="H15" s="5" t="s">
        <v>185</v>
      </c>
    </row>
    <row r="16" spans="1:8" ht="48.75" customHeight="1">
      <c r="A16" s="6" t="s">
        <v>97</v>
      </c>
      <c r="B16" s="7" t="s">
        <v>98</v>
      </c>
      <c r="C16" s="6">
        <v>4</v>
      </c>
      <c r="D16" s="6" t="s">
        <v>51</v>
      </c>
      <c r="E16" s="6">
        <v>5</v>
      </c>
      <c r="F16" s="6" t="s">
        <v>172</v>
      </c>
      <c r="G16" s="6" t="s">
        <v>52</v>
      </c>
      <c r="H16" s="7" t="s">
        <v>186</v>
      </c>
    </row>
    <row r="17" spans="1:8" ht="48.75" customHeight="1">
      <c r="A17" s="4" t="s">
        <v>101</v>
      </c>
      <c r="B17" s="5" t="s">
        <v>102</v>
      </c>
      <c r="C17" s="4">
        <v>4</v>
      </c>
      <c r="D17" s="4" t="s">
        <v>51</v>
      </c>
      <c r="E17" s="4">
        <v>8</v>
      </c>
      <c r="F17" s="4" t="s">
        <v>178</v>
      </c>
      <c r="G17" s="4" t="s">
        <v>52</v>
      </c>
      <c r="H17" s="5" t="s">
        <v>187</v>
      </c>
    </row>
    <row r="18" spans="1:8" ht="48.75" customHeight="1">
      <c r="A18" s="6" t="s">
        <v>105</v>
      </c>
      <c r="B18" s="7" t="s">
        <v>106</v>
      </c>
      <c r="C18" s="6">
        <v>5</v>
      </c>
      <c r="D18" s="6" t="s">
        <v>51</v>
      </c>
      <c r="E18" s="6">
        <v>8</v>
      </c>
      <c r="F18" s="6" t="s">
        <v>178</v>
      </c>
      <c r="G18" s="6" t="s">
        <v>51</v>
      </c>
      <c r="H18" s="7" t="s">
        <v>188</v>
      </c>
    </row>
    <row r="19" spans="1:8" ht="48.75" customHeight="1">
      <c r="A19" s="4" t="s">
        <v>108</v>
      </c>
      <c r="B19" s="5" t="s">
        <v>109</v>
      </c>
      <c r="C19" s="4">
        <v>5</v>
      </c>
      <c r="D19" s="4" t="s">
        <v>51</v>
      </c>
      <c r="E19" s="4">
        <v>5</v>
      </c>
      <c r="F19" s="4" t="s">
        <v>172</v>
      </c>
      <c r="G19" s="4" t="s">
        <v>52</v>
      </c>
      <c r="H19" s="5" t="s">
        <v>189</v>
      </c>
    </row>
    <row r="20" spans="1:8" ht="48.75" customHeight="1">
      <c r="A20" s="6" t="s">
        <v>112</v>
      </c>
      <c r="B20" s="7" t="s">
        <v>113</v>
      </c>
      <c r="C20" s="6">
        <v>5</v>
      </c>
      <c r="D20" s="6" t="s">
        <v>51</v>
      </c>
      <c r="E20" s="6">
        <v>5</v>
      </c>
      <c r="F20" s="6" t="s">
        <v>172</v>
      </c>
      <c r="G20" s="6" t="s">
        <v>52</v>
      </c>
      <c r="H20" s="7" t="s">
        <v>190</v>
      </c>
    </row>
    <row r="21" spans="1:8" ht="48.75" customHeight="1">
      <c r="A21" s="4" t="s">
        <v>116</v>
      </c>
      <c r="B21" s="5" t="s">
        <v>117</v>
      </c>
      <c r="C21" s="4">
        <v>5</v>
      </c>
      <c r="D21" s="4" t="s">
        <v>52</v>
      </c>
      <c r="E21" s="4">
        <v>3</v>
      </c>
      <c r="F21" s="4" t="s">
        <v>175</v>
      </c>
      <c r="G21" s="4" t="s">
        <v>61</v>
      </c>
      <c r="H21" s="5" t="s">
        <v>191</v>
      </c>
    </row>
    <row r="22" spans="1:8" ht="48.75" customHeight="1">
      <c r="A22" s="6" t="s">
        <v>120</v>
      </c>
      <c r="B22" s="7" t="s">
        <v>121</v>
      </c>
      <c r="C22" s="6">
        <v>5</v>
      </c>
      <c r="D22" s="6" t="s">
        <v>51</v>
      </c>
      <c r="E22" s="6">
        <v>5</v>
      </c>
      <c r="F22" s="6" t="s">
        <v>172</v>
      </c>
      <c r="G22" s="6" t="s">
        <v>51</v>
      </c>
      <c r="H22" s="7" t="s">
        <v>192</v>
      </c>
    </row>
    <row r="23" spans="1:8" ht="48.75" customHeight="1">
      <c r="A23" s="4" t="s">
        <v>124</v>
      </c>
      <c r="B23" s="5" t="s">
        <v>125</v>
      </c>
      <c r="C23" s="4">
        <v>6</v>
      </c>
      <c r="D23" s="4" t="s">
        <v>51</v>
      </c>
      <c r="E23" s="4">
        <v>8</v>
      </c>
      <c r="F23" s="4" t="s">
        <v>178</v>
      </c>
      <c r="G23" s="4" t="s">
        <v>51</v>
      </c>
      <c r="H23" s="5" t="s">
        <v>193</v>
      </c>
    </row>
    <row r="24" spans="1:8" ht="48.75" customHeight="1">
      <c r="A24" s="6" t="s">
        <v>127</v>
      </c>
      <c r="B24" s="7" t="s">
        <v>128</v>
      </c>
      <c r="C24" s="6">
        <v>6</v>
      </c>
      <c r="D24" s="6" t="s">
        <v>51</v>
      </c>
      <c r="E24" s="6">
        <v>5</v>
      </c>
      <c r="F24" s="6" t="s">
        <v>172</v>
      </c>
      <c r="G24" s="6" t="s">
        <v>51</v>
      </c>
      <c r="H24" s="7" t="s">
        <v>194</v>
      </c>
    </row>
    <row r="25" spans="1:8" ht="48.75" customHeight="1">
      <c r="A25" s="4" t="s">
        <v>130</v>
      </c>
      <c r="B25" s="5" t="s">
        <v>131</v>
      </c>
      <c r="C25" s="4">
        <v>6</v>
      </c>
      <c r="D25" s="4" t="s">
        <v>51</v>
      </c>
      <c r="E25" s="4">
        <v>5</v>
      </c>
      <c r="F25" s="4" t="s">
        <v>172</v>
      </c>
      <c r="G25" s="4" t="s">
        <v>52</v>
      </c>
      <c r="H25" s="5" t="s">
        <v>195</v>
      </c>
    </row>
    <row r="26" spans="1:8" ht="48.75" customHeight="1">
      <c r="A26" s="4" t="s">
        <v>134</v>
      </c>
      <c r="B26" s="5" t="s">
        <v>135</v>
      </c>
      <c r="C26" s="4">
        <v>6</v>
      </c>
      <c r="D26" s="4" t="s">
        <v>51</v>
      </c>
      <c r="E26" s="4">
        <v>5</v>
      </c>
      <c r="F26" s="4" t="s">
        <v>172</v>
      </c>
      <c r="G26" s="4" t="s">
        <v>52</v>
      </c>
      <c r="H26" s="5" t="s">
        <v>196</v>
      </c>
    </row>
    <row r="27" spans="1:8" ht="48.75" customHeight="1">
      <c r="A27" s="6" t="s">
        <v>138</v>
      </c>
      <c r="B27" s="7" t="s">
        <v>139</v>
      </c>
      <c r="C27" s="6">
        <v>6</v>
      </c>
      <c r="D27" s="6" t="s">
        <v>51</v>
      </c>
      <c r="E27" s="6">
        <v>5</v>
      </c>
      <c r="F27" s="6" t="s">
        <v>172</v>
      </c>
      <c r="G27" s="6" t="s">
        <v>51</v>
      </c>
      <c r="H27" s="7" t="s">
        <v>197</v>
      </c>
    </row>
    <row r="28" spans="1:8" ht="48.75" customHeight="1">
      <c r="A28" s="4" t="s">
        <v>142</v>
      </c>
      <c r="B28" s="5" t="s">
        <v>143</v>
      </c>
      <c r="C28" s="4">
        <v>6</v>
      </c>
      <c r="D28" s="4" t="s">
        <v>52</v>
      </c>
      <c r="E28" s="4">
        <v>5</v>
      </c>
      <c r="F28" s="4" t="s">
        <v>172</v>
      </c>
      <c r="G28" s="4" t="s">
        <v>52</v>
      </c>
      <c r="H28" s="5" t="s">
        <v>198</v>
      </c>
    </row>
    <row r="29" spans="1:8" ht="48.75" customHeight="1">
      <c r="A29" s="4" t="s">
        <v>145</v>
      </c>
      <c r="B29" s="5" t="s">
        <v>146</v>
      </c>
      <c r="C29" s="4">
        <v>1</v>
      </c>
      <c r="D29" s="4" t="s">
        <v>51</v>
      </c>
      <c r="E29" s="4">
        <v>5</v>
      </c>
      <c r="F29" s="4" t="s">
        <v>172</v>
      </c>
      <c r="G29" s="4" t="s">
        <v>52</v>
      </c>
      <c r="H29" s="5" t="s">
        <v>199</v>
      </c>
    </row>
    <row r="30" spans="1:8" ht="48.75" customHeight="1">
      <c r="A30" s="6" t="s">
        <v>149</v>
      </c>
      <c r="B30" s="7" t="s">
        <v>150</v>
      </c>
      <c r="C30" s="6">
        <v>2</v>
      </c>
      <c r="D30" s="6" t="s">
        <v>51</v>
      </c>
      <c r="E30" s="6">
        <v>5</v>
      </c>
      <c r="F30" s="6" t="s">
        <v>172</v>
      </c>
      <c r="G30" s="6" t="s">
        <v>51</v>
      </c>
      <c r="H30" s="7" t="s">
        <v>200</v>
      </c>
    </row>
    <row r="31" spans="1:8" ht="48.75" customHeight="1">
      <c r="A31" s="4" t="s">
        <v>153</v>
      </c>
      <c r="B31" s="5" t="s">
        <v>154</v>
      </c>
      <c r="C31" s="4">
        <v>3</v>
      </c>
      <c r="D31" s="4" t="s">
        <v>52</v>
      </c>
      <c r="E31" s="4">
        <v>3</v>
      </c>
      <c r="F31" s="4" t="s">
        <v>175</v>
      </c>
      <c r="G31" s="4" t="s">
        <v>61</v>
      </c>
      <c r="H31" s="5" t="s">
        <v>201</v>
      </c>
    </row>
    <row r="32" spans="1:8" ht="48.75" customHeight="1">
      <c r="A32" s="6" t="s">
        <v>157</v>
      </c>
      <c r="B32" s="7" t="s">
        <v>158</v>
      </c>
      <c r="C32" s="6">
        <v>6</v>
      </c>
      <c r="D32" s="6" t="s">
        <v>52</v>
      </c>
      <c r="E32" s="6">
        <v>5</v>
      </c>
      <c r="F32" s="6" t="s">
        <v>172</v>
      </c>
      <c r="G32" s="6" t="s">
        <v>52</v>
      </c>
      <c r="H32" s="7" t="s">
        <v>202</v>
      </c>
    </row>
    <row r="33" spans="1:8" ht="48.75" customHeight="1">
      <c r="A33" s="4" t="s">
        <v>160</v>
      </c>
      <c r="B33" s="5" t="s">
        <v>161</v>
      </c>
      <c r="C33" s="4">
        <v>4</v>
      </c>
      <c r="D33" s="4" t="s">
        <v>51</v>
      </c>
      <c r="E33" s="4">
        <v>8</v>
      </c>
      <c r="F33" s="4" t="s">
        <v>178</v>
      </c>
      <c r="G33" s="4" t="s">
        <v>51</v>
      </c>
      <c r="H33" s="5" t="s">
        <v>203</v>
      </c>
    </row>
    <row r="34" spans="1:8" ht="48.75" customHeight="1">
      <c r="A34" s="4"/>
      <c r="B34" s="5"/>
      <c r="C34" s="4"/>
      <c r="D34" s="4"/>
      <c r="E34" s="4"/>
      <c r="F34" s="4"/>
      <c r="G34" s="4"/>
      <c r="H34" s="5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5"/>
  <cols>
    <col min="1" max="1" width="50" customWidth="1"/>
    <col min="2" max="2" width="14" customWidth="1"/>
    <col min="3" max="3" width="19" customWidth="1"/>
    <col min="4" max="4" width="24" customWidth="1"/>
    <col min="5" max="5" width="23" customWidth="1"/>
  </cols>
  <sheetData>
    <row r="1" spans="1:5">
      <c r="A1" s="1" t="s">
        <v>204</v>
      </c>
    </row>
    <row r="3" spans="1:5">
      <c r="A3" s="3" t="s">
        <v>166</v>
      </c>
      <c r="B3" s="3" t="s">
        <v>205</v>
      </c>
      <c r="C3" s="3" t="s">
        <v>206</v>
      </c>
      <c r="D3" s="3" t="s">
        <v>207</v>
      </c>
      <c r="E3" s="3" t="s">
        <v>208</v>
      </c>
    </row>
    <row r="4" spans="1:5">
      <c r="A4" s="4">
        <v>1</v>
      </c>
      <c r="B4" s="4">
        <v>5</v>
      </c>
      <c r="C4" s="4">
        <v>23</v>
      </c>
      <c r="D4" s="12">
        <f>C4/B4</f>
        <v>4.5999999999999996</v>
      </c>
      <c r="E4" s="13">
        <f>C4/163</f>
        <v>0.1411042944785276</v>
      </c>
    </row>
    <row r="5" spans="1:5">
      <c r="A5" s="6">
        <v>2</v>
      </c>
      <c r="B5" s="6">
        <v>3</v>
      </c>
      <c r="C5" s="6">
        <v>18</v>
      </c>
      <c r="D5" s="14">
        <f>C5/B5</f>
        <v>6</v>
      </c>
      <c r="E5" s="15">
        <f>C5/163</f>
        <v>0.11042944785276074</v>
      </c>
    </row>
    <row r="6" spans="1:5">
      <c r="A6" s="4">
        <v>3</v>
      </c>
      <c r="B6" s="4">
        <v>5</v>
      </c>
      <c r="C6" s="4">
        <v>32</v>
      </c>
      <c r="D6" s="12">
        <f>C6/B6</f>
        <v>6.4</v>
      </c>
      <c r="E6" s="13">
        <f>C6/163</f>
        <v>0.19631901840490798</v>
      </c>
    </row>
    <row r="7" spans="1:5">
      <c r="A7" s="6">
        <v>4</v>
      </c>
      <c r="B7" s="6">
        <v>4</v>
      </c>
      <c r="C7" s="6">
        <v>26</v>
      </c>
      <c r="D7" s="14">
        <f>C7/B7</f>
        <v>6.5</v>
      </c>
      <c r="E7" s="15">
        <f>C7/163</f>
        <v>0.15950920245398773</v>
      </c>
    </row>
    <row r="8" spans="1:5">
      <c r="A8" s="4">
        <v>5</v>
      </c>
      <c r="B8" s="4">
        <v>5</v>
      </c>
      <c r="C8" s="4">
        <v>26</v>
      </c>
      <c r="D8" s="12">
        <f>C8/B8</f>
        <v>5.2</v>
      </c>
      <c r="E8" s="13">
        <f>C8/163</f>
        <v>0.15950920245398773</v>
      </c>
    </row>
    <row r="9" spans="1:5">
      <c r="A9" s="6">
        <v>6</v>
      </c>
      <c r="B9" s="6">
        <v>7</v>
      </c>
      <c r="C9" s="6">
        <v>38</v>
      </c>
      <c r="D9" s="14">
        <f>C9/B9</f>
        <v>5.4285714285714288</v>
      </c>
      <c r="E9" s="15">
        <f>C9/163</f>
        <v>0.23312883435582821</v>
      </c>
    </row>
    <row r="10" spans="1:5">
      <c r="A10" s="8" t="s">
        <v>26</v>
      </c>
      <c r="B10" s="8">
        <f>SUM(B4:B9)</f>
        <v>29</v>
      </c>
      <c r="C10" s="8">
        <f>SUM(C4:C9)</f>
        <v>163</v>
      </c>
      <c r="D10" s="16">
        <f>C10/B10</f>
        <v>5.6206896551724137</v>
      </c>
      <c r="E10" s="17">
        <f>SUM(E4:E9)</f>
        <v>0.99999999999999989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2026-10-19T15:46:29Z</dcterms:created>
  <dcterms:modified xsi:type="dcterms:W3CDTF">2026-10-19T15:52:20Z</dcterms:modified>
  <cp:category/>
  <cp:contentStatus/>
</cp:coreProperties>
</file>